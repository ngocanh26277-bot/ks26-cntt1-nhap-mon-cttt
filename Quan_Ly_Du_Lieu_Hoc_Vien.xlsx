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000"/>
  </bookViews>
  <sheets>
    <sheet name="Danh sách học viên" sheetId="1" r:id="rId1"/>
  </sheets>
  <definedNames>
    <definedName name="_xlnm._FilterDatabase" localSheetId="0" hidden="1">'Danh sách học viên'!$A$5:$H$17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<sst xmlns="http://schemas.openxmlformats.org/spreadsheetml/2006/main" count="111" uniqueCount="70">
  <si>
    <t>DANH SÁCH HỌC VIÊN ĐĂNG KÝ</t>
  </si>
  <si>
    <t>(Tổng hợp từ nhiều nguồn)</t>
  </si>
  <si>
    <t>Cập nhật: 20/05/2024</t>
  </si>
  <si>
    <t>STT</t>
  </si>
  <si>
    <t>Họ và tên</t>
  </si>
  <si>
    <t>Email</t>
  </si>
  <si>
    <t>SĐT</t>
  </si>
  <si>
    <t>Nguồn đăng ký</t>
  </si>
  <si>
    <t>Khóa học quan tâm</t>
  </si>
  <si>
    <t>Ngày đăng ký</t>
  </si>
  <si>
    <t>Trạng thái</t>
  </si>
  <si>
    <t>Nguyễn Văn An</t>
  </si>
  <si>
    <t>an.nguyen@email.com</t>
  </si>
  <si>
    <t>0912345678</t>
  </si>
  <si>
    <t>Website</t>
  </si>
  <si>
    <t>Lập trình Python</t>
  </si>
  <si>
    <t>19/05/2024</t>
  </si>
  <si>
    <t>Đã xác nhận</t>
  </si>
  <si>
    <t>Trần Thị Bình</t>
  </si>
  <si>
    <t>binh.tran@email.com</t>
  </si>
  <si>
    <t>0923456789</t>
  </si>
  <si>
    <t>Facebook Ads</t>
  </si>
  <si>
    <t>Thiết kế UI/UX</t>
  </si>
  <si>
    <t>Lê Minh Đức</t>
  </si>
  <si>
    <t>duc.le@email.com</t>
  </si>
  <si>
    <t>0934567890</t>
  </si>
  <si>
    <t>Google Form</t>
  </si>
  <si>
    <t>Data Science</t>
  </si>
  <si>
    <t>18/05/2024</t>
  </si>
  <si>
    <t>Chờ xác nhận</t>
  </si>
  <si>
    <t>Phạm Thu Hà</t>
  </si>
  <si>
    <t>ha.pham@email.com</t>
  </si>
  <si>
    <t>0945678901</t>
  </si>
  <si>
    <t>Zalo OA</t>
  </si>
  <si>
    <t>Tiếng Anh giao tiếp</t>
  </si>
  <si>
    <t>Đỗ Quốc Huy</t>
  </si>
  <si>
    <t>huy.do@email.com</t>
  </si>
  <si>
    <t>0956789012</t>
  </si>
  <si>
    <t>Lập trình Web</t>
  </si>
  <si>
    <t>Vũ Thảo Linh</t>
  </si>
  <si>
    <t>linh.vu@email.com</t>
  </si>
  <si>
    <t>0967890123</t>
  </si>
  <si>
    <t>Marketing Digital</t>
  </si>
  <si>
    <t>17/05/2024</t>
  </si>
  <si>
    <t>Bùi Hoàng Nam</t>
  </si>
  <si>
    <t>nam.bui@email.com</t>
  </si>
  <si>
    <t>0978901234</t>
  </si>
  <si>
    <t>Excel nâng cao</t>
  </si>
  <si>
    <t>Ngô Yến Nhi</t>
  </si>
  <si>
    <t>nhi.ngo@email.com</t>
  </si>
  <si>
    <t>0989012345</t>
  </si>
  <si>
    <t>Trương Gia Bảo</t>
  </si>
  <si>
    <t>bao.truong@email.com</t>
  </si>
  <si>
    <t>0990123456</t>
  </si>
  <si>
    <t>16/05/2024</t>
  </si>
  <si>
    <t>Hoàng Mai Anh</t>
  </si>
  <si>
    <t>anh.hoang@email.com</t>
  </si>
  <si>
    <t>0901234567</t>
  </si>
  <si>
    <t>Đặng Quang Minh</t>
  </si>
  <si>
    <t>minh.dang@email.com</t>
  </si>
  <si>
    <t>0913987654</t>
  </si>
  <si>
    <t>Phan Khánh Vy</t>
  </si>
  <si>
    <t>vy.phan@email.com</t>
  </si>
  <si>
    <t>0922468135</t>
  </si>
  <si>
    <t>15/05/2024</t>
  </si>
  <si>
    <t>THỐNG KÊ THEO NGUỒN</t>
  </si>
  <si>
    <t>THỐNG KÊ THEO TRẠNG THÁI</t>
  </si>
  <si>
    <t>Số lượng</t>
  </si>
  <si>
    <t>Tỷ lệ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</si>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</sst>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0.0%"/>
  </numFmts>
  <fonts count="28">
    <font>
      <sz val="11"/>
      <color theme="1"/>
      <name val="Calibri"/>
      <charset val="134"/>
      <scheme val="minor"/>
    </font>
    <font>
      <b/>
      <sz val="16"/>
      <color rgb="FF000000"/>
      <name val="Segoe UI"/>
      <charset val="134"/>
    </font>
    <font>
      <b/>
      <sz val="11"/>
      <color rgb="FF1E4D2B"/>
      <name val="Segoe UI"/>
      <charset val="134"/>
    </font>
    <font>
      <b/>
      <sz val="10"/>
      <color rgb="FF333333"/>
      <name val="Segoe UI"/>
      <charset val="134"/>
    </font>
    <font>
      <b/>
      <sz val="11"/>
      <color rgb="FFFFFFFF"/>
      <name val="Segoe UI"/>
      <charset val="134"/>
    </font>
    <font>
      <sz val="10"/>
      <name val="Segoe UI"/>
      <charset val="134"/>
    </font>
    <font>
      <b/>
      <sz val="11"/>
      <color rgb="FF006100"/>
      <name val="Segoe UI"/>
      <charset val="134"/>
    </font>
    <font>
      <b/>
      <sz val="10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6100"/>
        <bgColor rgb="FF006100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right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180" fontId="7" fillId="0" borderId="1" xfId="0" applyNumberFormat="1" applyFont="1" applyBorder="1" applyAlignment="1">
      <alignment horizontal="right" vertical="center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vi-V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Tỷ lệ trạng thái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'Danh sách học viên'!$F$21</c:f>
              <c:strCache>
                <c:ptCount val="1"/>
                <c:pt idx="0">
                  <c:v>Số lượng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'Danh sách học viên'!$E$22:$E$23</c:f>
              <c:strCache>
                <c:ptCount val="2"/>
                <c:pt idx="0">
                  <c:v>Đã xác nhận</c:v>
                </c:pt>
                <c:pt idx="1">
                  <c:v>Chờ xác nhận</c:v>
                </c:pt>
              </c:strCache>
            </c:strRef>
          </c:cat>
          <c:val>
            <c:numRef>
              <c:f>'Danh sách học viên'!$F$22:$F$23</c:f>
              <c:numCache>
                <c:formatCode>General</c:formatCode>
                <c:ptCount val="2"/>
                <c:pt idx="0">
                  <c:v>9</c:v>
                </c:pt>
                <c:pt idx="1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vi-V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d99396-51d8-4d75-9c20-1d9d2c2000ea}"/>
      </c:ext>
    </c:extLst>
  </c:chart>
  <c:txPr>
    <a:bodyPr/>
    <a:lstStyle/>
    <a:p>
      <a:pPr>
        <a:defRPr lang="vi-V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25</xdr:row>
      <xdr:rowOff>0</xdr:rowOff>
    </xdr:from>
    <xdr:ext cx="3960000" cy="2456500"/>
    <xdr:graphicFrame>
      <xdr:nvGraphicFramePr>
        <xdr:cNvPr id="2" name="Chart 1"/>
        <xdr:cNvGraphicFramePr/>
      </xdr:nvGraphicFramePr>
      <xdr:xfrm>
        <a:off x="4819650" y="5911850"/>
        <a:ext cx="3959860" cy="2456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topLeftCell="A24" workbookViewId="0">
      <selection activeCell="H17" sqref="H17"/>
    </sheetView>
  </sheetViews>
  <sheetFormatPr defaultColWidth="9" defaultRowHeight="14.5" outlineLevelCol="7"/>
  <cols>
    <col min="1" max="1" width="8" customWidth="1"/>
    <col min="2" max="2" width="20" customWidth="1"/>
    <col min="3" max="3" width="26" customWidth="1"/>
    <col min="4" max="4" width="15" customWidth="1"/>
    <col min="5" max="5" width="18" customWidth="1"/>
    <col min="6" max="6" width="22" customWidth="1"/>
    <col min="7" max="8" width="16" customWidth="1"/>
  </cols>
  <sheetData>
    <row r="1" ht="25" spans="1:8">
      <c r="A1" s="1" t="s">
        <v>0</v>
      </c>
    </row>
    <row r="2" ht="16.5" spans="1:8">
      <c r="A2" s="2" t="s">
        <v>1</v>
      </c>
    </row>
    <row r="3" ht="16" spans="1:8">
      <c r="A3" s="3" t="s">
        <v>2</v>
      </c>
    </row>
    <row r="5" ht="28" customHeight="1" spans="1:8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ht="20" customHeight="1" spans="1:8">
      <c r="A6" s="5">
        <v>1</v>
      </c>
      <c r="B6" s="6" t="s">
        <v>11</v>
      </c>
      <c r="C6" s="6" t="s">
        <v>12</v>
      </c>
      <c r="D6" s="5" t="s">
        <v>13</v>
      </c>
      <c r="E6" s="5" t="s">
        <v>14</v>
      </c>
      <c r="F6" s="6" t="s">
        <v>15</v>
      </c>
      <c r="G6" s="5" t="s">
        <v>16</v>
      </c>
      <c r="H6" s="5" t="s">
        <v>17</v>
      </c>
    </row>
    <row r="7" ht="20" customHeight="1" spans="1:8">
      <c r="A7" s="5">
        <v>2</v>
      </c>
      <c r="B7" s="6" t="s">
        <v>18</v>
      </c>
      <c r="C7" s="6" t="s">
        <v>19</v>
      </c>
      <c r="D7" s="5" t="s">
        <v>20</v>
      </c>
      <c r="E7" s="5" t="s">
        <v>21</v>
      </c>
      <c r="F7" s="6" t="s">
        <v>22</v>
      </c>
      <c r="G7" s="5" t="s">
        <v>16</v>
      </c>
      <c r="H7" s="5" t="s">
        <v>17</v>
      </c>
    </row>
    <row r="8" ht="20" customHeight="1" spans="1:8">
      <c r="A8" s="5">
        <v>3</v>
      </c>
      <c r="B8" s="6" t="s">
        <v>23</v>
      </c>
      <c r="C8" s="6" t="s">
        <v>24</v>
      </c>
      <c r="D8" s="5" t="s">
        <v>25</v>
      </c>
      <c r="E8" s="5" t="s">
        <v>26</v>
      </c>
      <c r="F8" s="6" t="s">
        <v>27</v>
      </c>
      <c r="G8" s="5" t="s">
        <v>28</v>
      </c>
      <c r="H8" s="5" t="s">
        <v>29</v>
      </c>
    </row>
    <row r="9" ht="20" customHeight="1" spans="1:8">
      <c r="A9" s="5">
        <v>4</v>
      </c>
      <c r="B9" s="6" t="s">
        <v>30</v>
      </c>
      <c r="C9" s="6" t="s">
        <v>31</v>
      </c>
      <c r="D9" s="5" t="s">
        <v>32</v>
      </c>
      <c r="E9" s="5" t="s">
        <v>33</v>
      </c>
      <c r="F9" s="6" t="s">
        <v>34</v>
      </c>
      <c r="G9" s="5" t="s">
        <v>28</v>
      </c>
      <c r="H9" s="5" t="s">
        <v>17</v>
      </c>
    </row>
    <row r="10" ht="20" customHeight="1" spans="1:8">
      <c r="A10" s="5">
        <v>5</v>
      </c>
      <c r="B10" s="6" t="s">
        <v>35</v>
      </c>
      <c r="C10" s="6" t="s">
        <v>36</v>
      </c>
      <c r="D10" s="5" t="s">
        <v>37</v>
      </c>
      <c r="E10" s="5" t="s">
        <v>14</v>
      </c>
      <c r="F10" s="6" t="s">
        <v>38</v>
      </c>
      <c r="G10" s="5" t="s">
        <v>28</v>
      </c>
      <c r="H10" s="5" t="s">
        <v>17</v>
      </c>
    </row>
    <row r="11" ht="20" customHeight="1" spans="1:8">
      <c r="A11" s="5">
        <v>6</v>
      </c>
      <c r="B11" s="6" t="s">
        <v>39</v>
      </c>
      <c r="C11" s="6" t="s">
        <v>40</v>
      </c>
      <c r="D11" s="5" t="s">
        <v>41</v>
      </c>
      <c r="E11" s="5" t="s">
        <v>21</v>
      </c>
      <c r="F11" s="6" t="s">
        <v>42</v>
      </c>
      <c r="G11" s="5" t="s">
        <v>43</v>
      </c>
      <c r="H11" s="5" t="s">
        <v>29</v>
      </c>
    </row>
    <row r="12" ht="20" customHeight="1" spans="1:8">
      <c r="A12" s="5">
        <v>7</v>
      </c>
      <c r="B12" s="6" t="s">
        <v>44</v>
      </c>
      <c r="C12" s="6" t="s">
        <v>45</v>
      </c>
      <c r="D12" s="5" t="s">
        <v>46</v>
      </c>
      <c r="E12" s="5" t="s">
        <v>26</v>
      </c>
      <c r="F12" s="6" t="s">
        <v>47</v>
      </c>
      <c r="G12" s="5" t="s">
        <v>43</v>
      </c>
      <c r="H12" s="5" t="s">
        <v>17</v>
      </c>
    </row>
    <row r="13" ht="20" customHeight="1" spans="1:8">
      <c r="A13" s="5">
        <v>8</v>
      </c>
      <c r="B13" s="6" t="s">
        <v>48</v>
      </c>
      <c r="C13" s="6" t="s">
        <v>49</v>
      </c>
      <c r="D13" s="5" t="s">
        <v>50</v>
      </c>
      <c r="E13" s="5" t="s">
        <v>14</v>
      </c>
      <c r="F13" s="6" t="s">
        <v>15</v>
      </c>
      <c r="G13" s="5" t="s">
        <v>43</v>
      </c>
      <c r="H13" s="5" t="s">
        <v>17</v>
      </c>
    </row>
    <row r="14" ht="20" customHeight="1" spans="1:8">
      <c r="A14" s="5">
        <v>9</v>
      </c>
      <c r="B14" s="6" t="s">
        <v>51</v>
      </c>
      <c r="C14" s="6" t="s">
        <v>52</v>
      </c>
      <c r="D14" s="5" t="s">
        <v>53</v>
      </c>
      <c r="E14" s="5" t="s">
        <v>33</v>
      </c>
      <c r="F14" s="6" t="s">
        <v>27</v>
      </c>
      <c r="G14" s="5" t="s">
        <v>54</v>
      </c>
      <c r="H14" s="5" t="s">
        <v>29</v>
      </c>
    </row>
    <row r="15" ht="20" customHeight="1" spans="1:8">
      <c r="A15" s="5">
        <v>10</v>
      </c>
      <c r="B15" s="6" t="s">
        <v>55</v>
      </c>
      <c r="C15" s="6" t="s">
        <v>56</v>
      </c>
      <c r="D15" s="5" t="s">
        <v>57</v>
      </c>
      <c r="E15" s="5" t="s">
        <v>21</v>
      </c>
      <c r="F15" s="6" t="s">
        <v>22</v>
      </c>
      <c r="G15" s="5" t="s">
        <v>54</v>
      </c>
      <c r="H15" s="5" t="s">
        <v>17</v>
      </c>
    </row>
    <row r="16" ht="20" customHeight="1" spans="1:8">
      <c r="A16" s="5">
        <v>11</v>
      </c>
      <c r="B16" s="6" t="s">
        <v>58</v>
      </c>
      <c r="C16" s="6" t="s">
        <v>59</v>
      </c>
      <c r="D16" s="5" t="s">
        <v>60</v>
      </c>
      <c r="E16" s="5" t="s">
        <v>26</v>
      </c>
      <c r="F16" s="6" t="s">
        <v>38</v>
      </c>
      <c r="G16" s="5" t="s">
        <v>54</v>
      </c>
      <c r="H16" s="5" t="s">
        <v>17</v>
      </c>
    </row>
    <row r="17" ht="20" customHeight="1" spans="1:8">
      <c r="A17" s="5">
        <v>12</v>
      </c>
      <c r="B17" s="6" t="s">
        <v>61</v>
      </c>
      <c r="C17" s="6" t="s">
        <v>62</v>
      </c>
      <c r="D17" s="5" t="s">
        <v>63</v>
      </c>
      <c r="E17" s="5" t="s">
        <v>14</v>
      </c>
      <c r="F17" s="6" t="s">
        <v>42</v>
      </c>
      <c r="G17" s="5" t="s">
        <v>64</v>
      </c>
      <c r="H17" s="5" t="s">
        <v>17</v>
      </c>
    </row>
    <row r="20" ht="16.5" spans="1:8">
      <c r="A20" s="7" t="s">
        <v>65</v>
      </c>
      <c r="E20" s="7" t="s">
        <v>66</v>
      </c>
    </row>
    <row r="21" ht="16" spans="1:8">
      <c r="A21" s="8" t="s">
        <v>7</v>
      </c>
      <c r="B21" s="8" t="s">
        <v>67</v>
      </c>
      <c r="C21" s="8" t="s">
        <v>68</v>
      </c>
      <c r="E21" s="8" t="s">
        <v>10</v>
      </c>
      <c r="F21" s="8" t="s">
        <v>67</v>
      </c>
      <c r="G21" s="8" t="s">
        <v>68</v>
      </c>
    </row>
    <row r="22" ht="16" spans="1:8">
      <c r="A22" s="6" t="s">
        <v>14</v>
      </c>
      <c r="B22" s="9">
        <f>COUNTIF(E$6:E$17,A22)</f>
        <v>4</v>
      </c>
      <c r="C22" s="10">
        <f>B22/COUNTA(E$6:E$17)</f>
        <v>0.333333333333333</v>
      </c>
      <c r="E22" s="6" t="s">
        <v>17</v>
      </c>
      <c r="F22" s="5">
        <f>COUNTIF(H$6:H$17,E22)</f>
        <v>9</v>
      </c>
      <c r="G22" s="10">
        <f>F22/COUNTA(H$6:H$17)</f>
        <v>0.75</v>
      </c>
    </row>
    <row r="23" ht="16" spans="1:8">
      <c r="A23" s="6" t="s">
        <v>21</v>
      </c>
      <c r="B23" s="9">
        <f>COUNTIF(E$6:E$17,A23)</f>
        <v>3</v>
      </c>
      <c r="C23" s="10">
        <f>B23/COUNTA(E$6:E$17)</f>
        <v>0.25</v>
      </c>
      <c r="E23" s="6" t="s">
        <v>29</v>
      </c>
      <c r="F23" s="5">
        <f>COUNTIF(H$6:H$17,E23)</f>
        <v>3</v>
      </c>
      <c r="G23" s="10">
        <f>F23/COUNTA(H$6:H$17)</f>
        <v>0.25</v>
      </c>
    </row>
    <row r="24" ht="16" spans="1:8">
      <c r="A24" s="6" t="s">
        <v>26</v>
      </c>
      <c r="B24" s="9">
        <f>COUNTIF(E$6:E$17,A24)</f>
        <v>3</v>
      </c>
      <c r="C24" s="10">
        <f>B24/COUNTA(E$6:E$17)</f>
        <v>0.25</v>
      </c>
      <c r="E24" s="11" t="s">
        <v>69</v>
      </c>
      <c r="F24" s="12">
        <f>SUM(F22:F23)</f>
        <v>12</v>
      </c>
      <c r="G24" s="13">
        <f>SUM(G22:G23)</f>
        <v>1</v>
      </c>
    </row>
    <row r="25" ht="16" spans="1:8">
      <c r="A25" s="6" t="s">
        <v>33</v>
      </c>
      <c r="B25" s="9">
        <f>COUNTIF(E$6:E$17,A25)</f>
        <v>2</v>
      </c>
      <c r="C25" s="10">
        <f>B25/COUNTA(E$6:E$17)</f>
        <v>0.166666666666667</v>
      </c>
    </row>
    <row r="26" ht="16" spans="1:8">
      <c r="A26" s="11" t="s">
        <v>69</v>
      </c>
      <c r="B26" s="12">
        <f>SUM(B22:B25)</f>
        <v>12</v>
      </c>
      <c r="C26" s="13">
        <f>SUM(C22:C25)</f>
        <v>1</v>
      </c>
    </row>
  </sheetData>
  <autoFilter xmlns:etc="http://www.wps.cn/officeDocument/2017/etCustomData" ref="A5:H17" etc:filterBottomFollowUsedRange="0">
    <extLst/>
  </autoFilter>
  <mergeCells count="5">
    <mergeCell ref="A1:H1"/>
    <mergeCell ref="A2:H2"/>
    <mergeCell ref="A3:H3"/>
    <mergeCell ref="A20:C20"/>
    <mergeCell ref="E20:G2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Danh sách học viên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2026-10-26T15:41:00Z</dcterms:created>
  <dcterms:modified xsi:type="dcterms:W3CDTF">2026-10-26T16:18:37Z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E40A6305C7104273ABA15CF3054F978E_12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0</vt:i4>
  </property>
</Properties>
</file>